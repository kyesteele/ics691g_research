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130\Documents\ICS691G\research_project\ics691g_research\"/>
    </mc:Choice>
  </mc:AlternateContent>
  <xr:revisionPtr revIDLastSave="0" documentId="13_ncr:1_{BF8AB530-D7D3-4066-A5C2-ADE727999975}" xr6:coauthVersionLast="47" xr6:coauthVersionMax="47" xr10:uidLastSave="{00000000-0000-0000-0000-000000000000}"/>
  <bookViews>
    <workbookView xWindow="-108" yWindow="-108" windowWidth="23256" windowHeight="12456" firstSheet="1" activeTab="4" xr2:uid="{C0301D2A-1992-4157-BA9F-4546ECFA9E42}"/>
  </bookViews>
  <sheets>
    <sheet name="phrase_frequency_all_with_rq1" sheetId="1" r:id="rId1"/>
    <sheet name="RQ1.1 Sorted Average" sheetId="2" r:id="rId2"/>
    <sheet name="RQ1.4 Claude" sheetId="3" r:id="rId3"/>
    <sheet name="RQ1.4 Copilot" sheetId="4" r:id="rId4"/>
    <sheet name="RQ1.4 OpenAI" sheetId="5" r:id="rId5"/>
    <sheet name="RQ1.4 Cursor" sheetId="7" r:id="rId6"/>
    <sheet name="RQ1.4 Devin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1" l="1"/>
  <c r="AN5" i="1"/>
  <c r="AN4" i="1"/>
  <c r="AN3" i="1"/>
  <c r="AN2" i="1"/>
  <c r="J12" i="1"/>
  <c r="L12" i="1"/>
  <c r="C12" i="1"/>
  <c r="E7" i="1"/>
  <c r="E12" i="1" s="1"/>
  <c r="F7" i="1"/>
  <c r="F12" i="1" s="1"/>
  <c r="G7" i="1"/>
  <c r="H7" i="1"/>
  <c r="I7" i="1"/>
  <c r="J7" i="1"/>
  <c r="K7" i="1"/>
  <c r="K12" i="1" s="1"/>
  <c r="L7" i="1"/>
  <c r="M7" i="1"/>
  <c r="M12" i="1" s="1"/>
  <c r="N7" i="1"/>
  <c r="N12" i="1" s="1"/>
  <c r="O7" i="1"/>
  <c r="P7" i="1"/>
  <c r="Q7" i="1"/>
  <c r="R7" i="1"/>
  <c r="S7" i="1"/>
  <c r="S12" i="1" s="1"/>
  <c r="T7" i="1"/>
  <c r="T12" i="1" s="1"/>
  <c r="U7" i="1"/>
  <c r="U12" i="1" s="1"/>
  <c r="V7" i="1"/>
  <c r="V12" i="1" s="1"/>
  <c r="W7" i="1"/>
  <c r="X7" i="1"/>
  <c r="Y7" i="1"/>
  <c r="Z7" i="1"/>
  <c r="AA7" i="1"/>
  <c r="AA12" i="1" s="1"/>
  <c r="AB7" i="1"/>
  <c r="AB12" i="1" s="1"/>
  <c r="AC7" i="1"/>
  <c r="AC12" i="1" s="1"/>
  <c r="AD7" i="1"/>
  <c r="AD12" i="1" s="1"/>
  <c r="AE7" i="1"/>
  <c r="AF7" i="1"/>
  <c r="AG7" i="1"/>
  <c r="AH7" i="1"/>
  <c r="AI7" i="1"/>
  <c r="AI12" i="1" s="1"/>
  <c r="AJ7" i="1"/>
  <c r="AJ12" i="1" s="1"/>
  <c r="AK7" i="1"/>
  <c r="AK12" i="1" s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E11" i="1"/>
  <c r="F11" i="1"/>
  <c r="G11" i="1"/>
  <c r="G12" i="1" s="1"/>
  <c r="H11" i="1"/>
  <c r="H12" i="1" s="1"/>
  <c r="I11" i="1"/>
  <c r="I12" i="1" s="1"/>
  <c r="J11" i="1"/>
  <c r="K11" i="1"/>
  <c r="L11" i="1"/>
  <c r="M11" i="1"/>
  <c r="N11" i="1"/>
  <c r="O11" i="1"/>
  <c r="O12" i="1" s="1"/>
  <c r="P11" i="1"/>
  <c r="P12" i="1" s="1"/>
  <c r="Q11" i="1"/>
  <c r="Q12" i="1" s="1"/>
  <c r="R11" i="1"/>
  <c r="R12" i="1" s="1"/>
  <c r="S11" i="1"/>
  <c r="T11" i="1"/>
  <c r="U11" i="1"/>
  <c r="V11" i="1"/>
  <c r="W11" i="1"/>
  <c r="W12" i="1" s="1"/>
  <c r="X11" i="1"/>
  <c r="X12" i="1" s="1"/>
  <c r="Y11" i="1"/>
  <c r="Y12" i="1" s="1"/>
  <c r="Z11" i="1"/>
  <c r="Z12" i="1" s="1"/>
  <c r="AA11" i="1"/>
  <c r="AB11" i="1"/>
  <c r="AC11" i="1"/>
  <c r="AD11" i="1"/>
  <c r="AE11" i="1"/>
  <c r="AE12" i="1" s="1"/>
  <c r="AF11" i="1"/>
  <c r="AF12" i="1" s="1"/>
  <c r="AG11" i="1"/>
  <c r="AG12" i="1" s="1"/>
  <c r="AH11" i="1"/>
  <c r="AH12" i="1" s="1"/>
  <c r="AI11" i="1"/>
  <c r="AJ11" i="1"/>
  <c r="AK11" i="1"/>
  <c r="D7" i="1"/>
  <c r="D8" i="1"/>
  <c r="D12" i="1" s="1"/>
  <c r="D9" i="1"/>
  <c r="D10" i="1"/>
  <c r="D11" i="1"/>
  <c r="C9" i="1"/>
  <c r="C10" i="1"/>
  <c r="C11" i="1"/>
  <c r="C8" i="1"/>
  <c r="C7" i="1"/>
</calcChain>
</file>

<file path=xl/sharedStrings.xml><?xml version="1.0" encoding="utf-8"?>
<sst xmlns="http://schemas.openxmlformats.org/spreadsheetml/2006/main" count="240" uniqueCount="50">
  <si>
    <t>agent</t>
  </si>
  <si>
    <t>Minor fixes</t>
  </si>
  <si>
    <t>Get rid of</t>
  </si>
  <si>
    <t>Additional fixes</t>
  </si>
  <si>
    <t>Handle</t>
  </si>
  <si>
    <t>Decoupling</t>
  </si>
  <si>
    <t>Reduce complexity</t>
  </si>
  <si>
    <t>Chang* inheritance</t>
  </si>
  <si>
    <t>Better encapsulation</t>
  </si>
  <si>
    <t>Remov* dependency</t>
  </si>
  <si>
    <t>More flexibility</t>
  </si>
  <si>
    <t>Better readability</t>
  </si>
  <si>
    <t>Improve readability</t>
  </si>
  <si>
    <t>Increase readability</t>
  </si>
  <si>
    <t>Readability improvements</t>
  </si>
  <si>
    <t>Improv* performance</t>
  </si>
  <si>
    <t>More manageable</t>
  </si>
  <si>
    <t>More efficient*</t>
  </si>
  <si>
    <t>Performance enhancement</t>
  </si>
  <si>
    <t>More compatible</t>
  </si>
  <si>
    <t>Improve usability</t>
  </si>
  <si>
    <t>To be more robust</t>
  </si>
  <si>
    <t>Easier to understand</t>
  </si>
  <si>
    <t>New module</t>
  </si>
  <si>
    <t>Fix some GUI</t>
  </si>
  <si>
    <t>Move functionality</t>
  </si>
  <si>
    <t>UI changes</t>
  </si>
  <si>
    <t>Avoid code duplication</t>
  </si>
  <si>
    <t>Avoid duplicate code</t>
  </si>
  <si>
    <t>Code duplication removed</t>
  </si>
  <si>
    <t>Delet* duplicate code</t>
  </si>
  <si>
    <t>Eliminate duplicate code</t>
  </si>
  <si>
    <t>Reduce code duplication</t>
  </si>
  <si>
    <t>Refactored duplicate code</t>
  </si>
  <si>
    <t>Remov* code duplication</t>
  </si>
  <si>
    <t>Remov* duplicate code</t>
  </si>
  <si>
    <t>Claude_Code</t>
  </si>
  <si>
    <t>Copilot</t>
  </si>
  <si>
    <t>OpenAI_Codex</t>
  </si>
  <si>
    <t>Cursor</t>
  </si>
  <si>
    <t>Devin</t>
  </si>
  <si>
    <t>Messages with SAR</t>
  </si>
  <si>
    <t>Average</t>
  </si>
  <si>
    <t>Total Messages</t>
  </si>
  <si>
    <t>% with SAR</t>
  </si>
  <si>
    <t>claude</t>
  </si>
  <si>
    <t>copilot</t>
  </si>
  <si>
    <t>openai</t>
  </si>
  <si>
    <t>cursor</t>
  </si>
  <si>
    <t>devin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</si>
</sst>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0365-8F78-43E9-8858-7A505DEC9849}">
  <dimension ref="A1:AO12"/>
  <sheetViews>
    <sheetView topLeftCell="G1" zoomScaleNormal="100" workbookViewId="0">
      <selection activeCell="D10" sqref="D10"/>
    </sheetView>
  </sheetViews>
  <sheetFormatPr defaultRowHeight="14.4" x14ac:dyDescent="0.3"/>
  <sheetData>
    <row r="1" spans="1:4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41</v>
      </c>
      <c r="AM1" t="s">
        <v>43</v>
      </c>
      <c r="AN1" t="s">
        <v>44</v>
      </c>
    </row>
    <row r="2" spans="1:41" x14ac:dyDescent="0.3">
      <c r="A2">
        <v>0</v>
      </c>
      <c r="B2" t="s">
        <v>36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</v>
      </c>
      <c r="AM2">
        <v>26</v>
      </c>
      <c r="AN2">
        <f>AL2/AM2*100</f>
        <v>11.538461538461538</v>
      </c>
      <c r="AO2" t="s">
        <v>45</v>
      </c>
    </row>
    <row r="3" spans="1:41" x14ac:dyDescent="0.3">
      <c r="A3">
        <v>1</v>
      </c>
      <c r="B3" t="s">
        <v>37</v>
      </c>
      <c r="C3">
        <v>0</v>
      </c>
      <c r="D3">
        <v>0</v>
      </c>
      <c r="E3">
        <v>0</v>
      </c>
      <c r="F3">
        <v>74</v>
      </c>
      <c r="G3">
        <v>7</v>
      </c>
      <c r="H3">
        <v>1</v>
      </c>
      <c r="I3">
        <v>1</v>
      </c>
      <c r="J3">
        <v>1</v>
      </c>
      <c r="K3">
        <v>9</v>
      </c>
      <c r="L3">
        <v>0</v>
      </c>
      <c r="M3">
        <v>4</v>
      </c>
      <c r="N3">
        <v>4</v>
      </c>
      <c r="O3">
        <v>0</v>
      </c>
      <c r="P3">
        <v>0</v>
      </c>
      <c r="Q3">
        <v>5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6</v>
      </c>
      <c r="Y3">
        <v>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94</v>
      </c>
      <c r="AM3">
        <v>301</v>
      </c>
      <c r="AN3">
        <f>AL3/AM3*100</f>
        <v>31.229235880398669</v>
      </c>
      <c r="AO3" t="s">
        <v>46</v>
      </c>
    </row>
    <row r="4" spans="1:41" x14ac:dyDescent="0.3">
      <c r="A4">
        <v>2</v>
      </c>
      <c r="B4" t="s">
        <v>38</v>
      </c>
      <c r="C4">
        <v>0</v>
      </c>
      <c r="D4">
        <v>0</v>
      </c>
      <c r="E4">
        <v>0</v>
      </c>
      <c r="F4">
        <v>79</v>
      </c>
      <c r="G4">
        <v>0</v>
      </c>
      <c r="H4">
        <v>0</v>
      </c>
      <c r="I4">
        <v>0</v>
      </c>
      <c r="J4">
        <v>0</v>
      </c>
      <c r="K4">
        <v>17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112</v>
      </c>
      <c r="AM4">
        <v>1413</v>
      </c>
      <c r="AN4">
        <f>AL4/AM4*100</f>
        <v>7.9263977353149331</v>
      </c>
      <c r="AO4" t="s">
        <v>47</v>
      </c>
    </row>
    <row r="5" spans="1:41" x14ac:dyDescent="0.3">
      <c r="A5">
        <v>3</v>
      </c>
      <c r="B5" t="s">
        <v>39</v>
      </c>
      <c r="C5">
        <v>0</v>
      </c>
      <c r="D5">
        <v>1</v>
      </c>
      <c r="E5">
        <v>0</v>
      </c>
      <c r="F5">
        <v>12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2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17</v>
      </c>
      <c r="AM5">
        <v>111</v>
      </c>
      <c r="AN5">
        <f>AL5/AM5*100</f>
        <v>15.315315315315313</v>
      </c>
      <c r="AO5" t="s">
        <v>48</v>
      </c>
    </row>
    <row r="6" spans="1:41" x14ac:dyDescent="0.3">
      <c r="A6">
        <v>4</v>
      </c>
      <c r="B6" t="s">
        <v>40</v>
      </c>
      <c r="C6">
        <v>0</v>
      </c>
      <c r="D6">
        <v>0</v>
      </c>
      <c r="E6">
        <v>0</v>
      </c>
      <c r="F6">
        <v>71</v>
      </c>
      <c r="G6">
        <v>0</v>
      </c>
      <c r="H6">
        <v>1</v>
      </c>
      <c r="I6">
        <v>1</v>
      </c>
      <c r="J6">
        <v>0</v>
      </c>
      <c r="K6">
        <v>10</v>
      </c>
      <c r="L6">
        <v>1</v>
      </c>
      <c r="M6">
        <v>1</v>
      </c>
      <c r="N6">
        <v>2</v>
      </c>
      <c r="O6">
        <v>0</v>
      </c>
      <c r="P6">
        <v>0</v>
      </c>
      <c r="Q6">
        <v>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1</v>
      </c>
      <c r="AL6">
        <v>91</v>
      </c>
      <c r="AM6">
        <v>437</v>
      </c>
      <c r="AN6">
        <f>AL6/AM6*100</f>
        <v>20.823798627002287</v>
      </c>
      <c r="AO6" t="s">
        <v>49</v>
      </c>
    </row>
    <row r="7" spans="1:41" x14ac:dyDescent="0.3">
      <c r="B7" t="s">
        <v>36</v>
      </c>
      <c r="C7">
        <f>C2/$AL2</f>
        <v>0</v>
      </c>
      <c r="D7">
        <f>D2/$AL2</f>
        <v>0</v>
      </c>
      <c r="E7">
        <f t="shared" ref="E7:AK7" si="0">E2/$AL2</f>
        <v>0</v>
      </c>
      <c r="F7">
        <f t="shared" si="0"/>
        <v>0.66666666666666663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0.33333333333333331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  <row r="8" spans="1:41" x14ac:dyDescent="0.3">
      <c r="B8" t="s">
        <v>37</v>
      </c>
      <c r="C8">
        <f>C3/$AL3</f>
        <v>0</v>
      </c>
      <c r="D8">
        <f>D3/$AL3</f>
        <v>0</v>
      </c>
      <c r="E8">
        <f t="shared" ref="E8:AK8" si="1">E3/$AL3</f>
        <v>0</v>
      </c>
      <c r="F8">
        <f t="shared" si="1"/>
        <v>0.78723404255319152</v>
      </c>
      <c r="G8">
        <f t="shared" si="1"/>
        <v>7.4468085106382975E-2</v>
      </c>
      <c r="H8">
        <f t="shared" si="1"/>
        <v>1.0638297872340425E-2</v>
      </c>
      <c r="I8">
        <f t="shared" si="1"/>
        <v>1.0638297872340425E-2</v>
      </c>
      <c r="J8">
        <f t="shared" si="1"/>
        <v>1.0638297872340425E-2</v>
      </c>
      <c r="K8">
        <f t="shared" si="1"/>
        <v>9.5744680851063829E-2</v>
      </c>
      <c r="L8">
        <f t="shared" si="1"/>
        <v>0</v>
      </c>
      <c r="M8">
        <f t="shared" si="1"/>
        <v>4.2553191489361701E-2</v>
      </c>
      <c r="N8">
        <f t="shared" si="1"/>
        <v>4.2553191489361701E-2</v>
      </c>
      <c r="O8">
        <f t="shared" si="1"/>
        <v>0</v>
      </c>
      <c r="P8">
        <f t="shared" si="1"/>
        <v>0</v>
      </c>
      <c r="Q8">
        <f t="shared" si="1"/>
        <v>5.3191489361702128E-2</v>
      </c>
      <c r="R8">
        <f t="shared" si="1"/>
        <v>0</v>
      </c>
      <c r="S8">
        <f t="shared" si="1"/>
        <v>3.1914893617021274E-2</v>
      </c>
      <c r="T8">
        <f t="shared" si="1"/>
        <v>0</v>
      </c>
      <c r="U8">
        <f t="shared" si="1"/>
        <v>0</v>
      </c>
      <c r="V8">
        <f t="shared" si="1"/>
        <v>0</v>
      </c>
      <c r="W8">
        <f t="shared" si="1"/>
        <v>0</v>
      </c>
      <c r="X8">
        <f t="shared" si="1"/>
        <v>6.3829787234042548E-2</v>
      </c>
      <c r="Y8">
        <f t="shared" si="1"/>
        <v>3.1914893617021274E-2</v>
      </c>
      <c r="Z8">
        <f t="shared" si="1"/>
        <v>0</v>
      </c>
      <c r="AA8">
        <f t="shared" si="1"/>
        <v>0</v>
      </c>
      <c r="AB8">
        <f t="shared" si="1"/>
        <v>0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1"/>
        <v>0</v>
      </c>
      <c r="AH8">
        <f t="shared" si="1"/>
        <v>1.0638297872340425E-2</v>
      </c>
      <c r="AI8">
        <f t="shared" si="1"/>
        <v>0</v>
      </c>
      <c r="AJ8">
        <f t="shared" si="1"/>
        <v>0</v>
      </c>
      <c r="AK8">
        <f t="shared" si="1"/>
        <v>0</v>
      </c>
    </row>
    <row r="9" spans="1:41" x14ac:dyDescent="0.3">
      <c r="B9" t="s">
        <v>38</v>
      </c>
      <c r="C9">
        <f t="shared" ref="C9:D13" si="2">C4/$AL4</f>
        <v>0</v>
      </c>
      <c r="D9">
        <f t="shared" si="2"/>
        <v>0</v>
      </c>
      <c r="E9">
        <f t="shared" ref="E9:AK9" si="3">E4/$AL4</f>
        <v>0</v>
      </c>
      <c r="F9">
        <f t="shared" si="3"/>
        <v>0.7053571428571429</v>
      </c>
      <c r="G9">
        <f t="shared" si="3"/>
        <v>0</v>
      </c>
      <c r="H9">
        <f t="shared" si="3"/>
        <v>0</v>
      </c>
      <c r="I9">
        <f t="shared" si="3"/>
        <v>0</v>
      </c>
      <c r="J9">
        <f t="shared" si="3"/>
        <v>0</v>
      </c>
      <c r="K9">
        <f t="shared" si="3"/>
        <v>0.15178571428571427</v>
      </c>
      <c r="L9">
        <f t="shared" si="3"/>
        <v>0</v>
      </c>
      <c r="M9">
        <f t="shared" si="3"/>
        <v>8.9285714285714281E-3</v>
      </c>
      <c r="N9">
        <f t="shared" si="3"/>
        <v>1.7857142857142856E-2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8.9285714285714281E-3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8.9285714285714281E-3</v>
      </c>
      <c r="Y9">
        <f t="shared" si="3"/>
        <v>0.13392857142857142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</v>
      </c>
      <c r="AH9">
        <f t="shared" si="3"/>
        <v>0</v>
      </c>
      <c r="AI9">
        <f t="shared" si="3"/>
        <v>0</v>
      </c>
      <c r="AJ9">
        <f t="shared" si="3"/>
        <v>8.9285714285714281E-3</v>
      </c>
      <c r="AK9">
        <f t="shared" si="3"/>
        <v>0</v>
      </c>
    </row>
    <row r="10" spans="1:41" x14ac:dyDescent="0.3">
      <c r="B10" t="s">
        <v>39</v>
      </c>
      <c r="C10">
        <f t="shared" si="2"/>
        <v>0</v>
      </c>
      <c r="D10">
        <f t="shared" si="2"/>
        <v>5.8823529411764705E-2</v>
      </c>
      <c r="E10">
        <f t="shared" ref="E10:AK10" si="4">E5/$AL5</f>
        <v>0</v>
      </c>
      <c r="F10">
        <f t="shared" si="4"/>
        <v>0.70588235294117652</v>
      </c>
      <c r="G10">
        <f t="shared" si="4"/>
        <v>0</v>
      </c>
      <c r="H10">
        <f t="shared" si="4"/>
        <v>0</v>
      </c>
      <c r="I10">
        <f t="shared" si="4"/>
        <v>0</v>
      </c>
      <c r="J10">
        <f t="shared" si="4"/>
        <v>0</v>
      </c>
      <c r="K10">
        <f t="shared" si="4"/>
        <v>5.8823529411764705E-2</v>
      </c>
      <c r="L10">
        <f t="shared" si="4"/>
        <v>0</v>
      </c>
      <c r="M10">
        <f t="shared" si="4"/>
        <v>0</v>
      </c>
      <c r="N10">
        <f t="shared" si="4"/>
        <v>0.11764705882352941</v>
      </c>
      <c r="O10">
        <f t="shared" si="4"/>
        <v>0</v>
      </c>
      <c r="P10">
        <f t="shared" si="4"/>
        <v>0</v>
      </c>
      <c r="Q10">
        <f t="shared" si="4"/>
        <v>5.8823529411764705E-2</v>
      </c>
      <c r="R10">
        <f t="shared" si="4"/>
        <v>0</v>
      </c>
      <c r="S10">
        <f t="shared" si="4"/>
        <v>5.8823529411764705E-2</v>
      </c>
      <c r="T10">
        <f t="shared" si="4"/>
        <v>0</v>
      </c>
      <c r="U10">
        <f t="shared" si="4"/>
        <v>0</v>
      </c>
      <c r="V10">
        <f t="shared" si="4"/>
        <v>0</v>
      </c>
      <c r="W10">
        <f t="shared" si="4"/>
        <v>0</v>
      </c>
      <c r="X10">
        <f t="shared" si="4"/>
        <v>0</v>
      </c>
      <c r="Y10">
        <f t="shared" si="4"/>
        <v>0</v>
      </c>
      <c r="Z10">
        <f t="shared" si="4"/>
        <v>0</v>
      </c>
      <c r="AA10">
        <f t="shared" si="4"/>
        <v>0</v>
      </c>
      <c r="AB10">
        <f t="shared" si="4"/>
        <v>0</v>
      </c>
      <c r="AC10">
        <f t="shared" si="4"/>
        <v>0</v>
      </c>
      <c r="AD10">
        <f t="shared" si="4"/>
        <v>0</v>
      </c>
      <c r="AE10">
        <f t="shared" si="4"/>
        <v>0</v>
      </c>
      <c r="AF10">
        <f t="shared" si="4"/>
        <v>0</v>
      </c>
      <c r="AG10">
        <f t="shared" si="4"/>
        <v>0</v>
      </c>
      <c r="AH10">
        <f t="shared" si="4"/>
        <v>0</v>
      </c>
      <c r="AI10">
        <f t="shared" si="4"/>
        <v>0</v>
      </c>
      <c r="AJ10">
        <f t="shared" si="4"/>
        <v>0</v>
      </c>
      <c r="AK10">
        <f t="shared" si="4"/>
        <v>0</v>
      </c>
    </row>
    <row r="11" spans="1:41" x14ac:dyDescent="0.3">
      <c r="B11" t="s">
        <v>40</v>
      </c>
      <c r="C11">
        <f t="shared" si="2"/>
        <v>0</v>
      </c>
      <c r="D11">
        <f t="shared" si="2"/>
        <v>0</v>
      </c>
      <c r="E11">
        <f t="shared" ref="E11:AK11" si="5">E6/$AL6</f>
        <v>0</v>
      </c>
      <c r="F11">
        <f t="shared" si="5"/>
        <v>0.78021978021978022</v>
      </c>
      <c r="G11">
        <f t="shared" si="5"/>
        <v>0</v>
      </c>
      <c r="H11">
        <f t="shared" si="5"/>
        <v>1.098901098901099E-2</v>
      </c>
      <c r="I11">
        <f t="shared" si="5"/>
        <v>1.098901098901099E-2</v>
      </c>
      <c r="J11">
        <f t="shared" si="5"/>
        <v>0</v>
      </c>
      <c r="K11">
        <f t="shared" si="5"/>
        <v>0.10989010989010989</v>
      </c>
      <c r="L11">
        <f t="shared" si="5"/>
        <v>1.098901098901099E-2</v>
      </c>
      <c r="M11">
        <f t="shared" si="5"/>
        <v>1.098901098901099E-2</v>
      </c>
      <c r="N11">
        <f t="shared" si="5"/>
        <v>2.197802197802198E-2</v>
      </c>
      <c r="O11">
        <f t="shared" si="5"/>
        <v>0</v>
      </c>
      <c r="P11">
        <f t="shared" si="5"/>
        <v>0</v>
      </c>
      <c r="Q11">
        <f t="shared" si="5"/>
        <v>6.5934065934065936E-2</v>
      </c>
      <c r="R11">
        <f t="shared" si="5"/>
        <v>0</v>
      </c>
      <c r="S11">
        <f t="shared" si="5"/>
        <v>0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0</v>
      </c>
      <c r="Y11">
        <f t="shared" si="5"/>
        <v>1.098901098901099E-2</v>
      </c>
      <c r="Z11">
        <f t="shared" si="5"/>
        <v>0</v>
      </c>
      <c r="AA11">
        <f t="shared" si="5"/>
        <v>0</v>
      </c>
      <c r="AB11">
        <f t="shared" si="5"/>
        <v>0</v>
      </c>
      <c r="AC11">
        <f t="shared" si="5"/>
        <v>0</v>
      </c>
      <c r="AD11">
        <f t="shared" si="5"/>
        <v>0</v>
      </c>
      <c r="AE11">
        <f t="shared" si="5"/>
        <v>0</v>
      </c>
      <c r="AF11">
        <f t="shared" si="5"/>
        <v>0</v>
      </c>
      <c r="AG11">
        <f t="shared" si="5"/>
        <v>0</v>
      </c>
      <c r="AH11">
        <f t="shared" si="5"/>
        <v>3.2967032967032968E-2</v>
      </c>
      <c r="AI11">
        <f t="shared" si="5"/>
        <v>0</v>
      </c>
      <c r="AJ11">
        <f t="shared" si="5"/>
        <v>0</v>
      </c>
      <c r="AK11">
        <f t="shared" si="5"/>
        <v>1.098901098901099E-2</v>
      </c>
    </row>
    <row r="12" spans="1:41" x14ac:dyDescent="0.3">
      <c r="B12" t="s">
        <v>42</v>
      </c>
      <c r="C12">
        <f>SUM(C7:C11)/COUNT(C7:C11)</f>
        <v>0</v>
      </c>
      <c r="D12">
        <f>SUM(D7:D11)/COUNT(D7:D11)</f>
        <v>1.1764705882352941E-2</v>
      </c>
      <c r="E12">
        <f>SUM(E7:E11)/COUNT(E7:E11)</f>
        <v>0</v>
      </c>
      <c r="F12">
        <f t="shared" ref="F12:AK12" si="6">SUM(F7:F11)/COUNT(F7:F11)</f>
        <v>0.72907199704759162</v>
      </c>
      <c r="G12">
        <f t="shared" si="6"/>
        <v>1.4893617021276595E-2</v>
      </c>
      <c r="H12">
        <f t="shared" si="6"/>
        <v>4.3254617722702834E-3</v>
      </c>
      <c r="I12">
        <f t="shared" si="6"/>
        <v>4.3254617722702834E-3</v>
      </c>
      <c r="J12">
        <f t="shared" si="6"/>
        <v>2.1276595744680851E-3</v>
      </c>
      <c r="K12">
        <f t="shared" si="6"/>
        <v>8.3248806887730536E-2</v>
      </c>
      <c r="L12">
        <f t="shared" si="6"/>
        <v>2.1978021978021978E-3</v>
      </c>
      <c r="M12">
        <f t="shared" si="6"/>
        <v>1.2494154781388826E-2</v>
      </c>
      <c r="N12">
        <f t="shared" si="6"/>
        <v>4.0007083029611187E-2</v>
      </c>
      <c r="O12">
        <f t="shared" si="6"/>
        <v>0</v>
      </c>
      <c r="P12">
        <f t="shared" si="6"/>
        <v>0</v>
      </c>
      <c r="Q12">
        <f t="shared" si="6"/>
        <v>3.5589816941506557E-2</v>
      </c>
      <c r="R12">
        <f t="shared" si="6"/>
        <v>1.7857142857142857E-3</v>
      </c>
      <c r="S12">
        <f t="shared" si="6"/>
        <v>8.4814351272423857E-2</v>
      </c>
      <c r="T12">
        <f t="shared" si="6"/>
        <v>0</v>
      </c>
      <c r="U12">
        <f t="shared" si="6"/>
        <v>0</v>
      </c>
      <c r="V12">
        <f t="shared" si="6"/>
        <v>0</v>
      </c>
      <c r="W12">
        <f t="shared" si="6"/>
        <v>0</v>
      </c>
      <c r="X12">
        <f t="shared" si="6"/>
        <v>1.4551671732522795E-2</v>
      </c>
      <c r="Y12">
        <f t="shared" si="6"/>
        <v>3.5366495206920735E-2</v>
      </c>
      <c r="Z12">
        <f t="shared" si="6"/>
        <v>0</v>
      </c>
      <c r="AA12">
        <f t="shared" si="6"/>
        <v>0</v>
      </c>
      <c r="AB12">
        <f t="shared" si="6"/>
        <v>0</v>
      </c>
      <c r="AC12">
        <f t="shared" si="6"/>
        <v>0</v>
      </c>
      <c r="AD12">
        <f t="shared" si="6"/>
        <v>0</v>
      </c>
      <c r="AE12">
        <f t="shared" si="6"/>
        <v>0</v>
      </c>
      <c r="AF12">
        <f t="shared" si="6"/>
        <v>0</v>
      </c>
      <c r="AG12">
        <f t="shared" si="6"/>
        <v>0</v>
      </c>
      <c r="AH12">
        <f t="shared" si="6"/>
        <v>8.721066167874679E-3</v>
      </c>
      <c r="AI12">
        <f t="shared" si="6"/>
        <v>0</v>
      </c>
      <c r="AJ12">
        <f t="shared" si="6"/>
        <v>1.7857142857142857E-3</v>
      </c>
      <c r="AK12">
        <f t="shared" si="6"/>
        <v>2.1978021978021978E-3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FC97-65AE-449B-86F4-C38BCCDB411F}">
  <dimension ref="A1:B35"/>
  <sheetViews>
    <sheetView workbookViewId="0">
      <selection activeCell="B2" sqref="B2"/>
    </sheetView>
  </sheetViews>
  <sheetFormatPr defaultRowHeight="14.4" x14ac:dyDescent="0.3"/>
  <sheetData>
    <row r="1" spans="1:2" x14ac:dyDescent="0.3">
      <c r="A1">
        <v>0.72907199704759162</v>
      </c>
      <c r="B1" t="s">
        <v>4</v>
      </c>
    </row>
    <row r="2" spans="1:2" x14ac:dyDescent="0.3">
      <c r="A2">
        <v>8.4814351272423857E-2</v>
      </c>
      <c r="B2" t="s">
        <v>17</v>
      </c>
    </row>
    <row r="3" spans="1:2" x14ac:dyDescent="0.3">
      <c r="A3">
        <v>8.3248806887730536E-2</v>
      </c>
      <c r="B3" t="s">
        <v>9</v>
      </c>
    </row>
    <row r="4" spans="1:2" x14ac:dyDescent="0.3">
      <c r="A4">
        <v>4.0007083029611201E-2</v>
      </c>
      <c r="B4" t="s">
        <v>12</v>
      </c>
    </row>
    <row r="5" spans="1:2" x14ac:dyDescent="0.3">
      <c r="A5">
        <v>3.5589816941506598E-2</v>
      </c>
      <c r="B5" t="s">
        <v>15</v>
      </c>
    </row>
    <row r="6" spans="1:2" x14ac:dyDescent="0.3">
      <c r="A6">
        <v>3.5366495206920701E-2</v>
      </c>
      <c r="B6" t="s">
        <v>23</v>
      </c>
    </row>
    <row r="7" spans="1:2" x14ac:dyDescent="0.3">
      <c r="A7">
        <v>1.48936170212766E-2</v>
      </c>
      <c r="B7" t="s">
        <v>5</v>
      </c>
    </row>
    <row r="8" spans="1:2" x14ac:dyDescent="0.3">
      <c r="A8">
        <v>1.45516717325228E-2</v>
      </c>
      <c r="B8" t="s">
        <v>22</v>
      </c>
    </row>
    <row r="9" spans="1:2" x14ac:dyDescent="0.3">
      <c r="A9">
        <v>1.24941547813888E-2</v>
      </c>
      <c r="B9" t="s">
        <v>11</v>
      </c>
    </row>
    <row r="10" spans="1:2" x14ac:dyDescent="0.3">
      <c r="A10">
        <v>1.1764705882352899E-2</v>
      </c>
      <c r="B10" t="s">
        <v>2</v>
      </c>
    </row>
    <row r="11" spans="1:2" x14ac:dyDescent="0.3">
      <c r="A11">
        <v>8.721066167874679E-3</v>
      </c>
    </row>
    <row r="12" spans="1:2" x14ac:dyDescent="0.3">
      <c r="A12">
        <v>4.3254617722702834E-3</v>
      </c>
    </row>
    <row r="13" spans="1:2" x14ac:dyDescent="0.3">
      <c r="A13">
        <v>4.3254617722702834E-3</v>
      </c>
    </row>
    <row r="14" spans="1:2" x14ac:dyDescent="0.3">
      <c r="A14">
        <v>2.1978021978021978E-3</v>
      </c>
    </row>
    <row r="15" spans="1:2" x14ac:dyDescent="0.3">
      <c r="A15">
        <v>2.1978021978021978E-3</v>
      </c>
    </row>
    <row r="16" spans="1:2" x14ac:dyDescent="0.3">
      <c r="A16">
        <v>2.1276595744680851E-3</v>
      </c>
    </row>
    <row r="17" spans="1:1" x14ac:dyDescent="0.3">
      <c r="A17">
        <v>1.7857142857142857E-3</v>
      </c>
    </row>
    <row r="18" spans="1:1" x14ac:dyDescent="0.3">
      <c r="A18">
        <v>1.7857142857142857E-3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DA1B-8241-4355-B4DE-20B00CC6C5D9}">
  <dimension ref="A1:B35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4</v>
      </c>
      <c r="B1">
        <v>0.66666666666666663</v>
      </c>
    </row>
    <row r="2" spans="1:2" x14ac:dyDescent="0.3">
      <c r="A2" t="s">
        <v>17</v>
      </c>
      <c r="B2">
        <v>0.33333333333333331</v>
      </c>
    </row>
    <row r="3" spans="1:2" x14ac:dyDescent="0.3">
      <c r="A3" t="s">
        <v>26</v>
      </c>
      <c r="B3">
        <v>0</v>
      </c>
    </row>
    <row r="4" spans="1:2" x14ac:dyDescent="0.3">
      <c r="A4" t="s">
        <v>21</v>
      </c>
      <c r="B4">
        <v>0</v>
      </c>
    </row>
    <row r="5" spans="1:2" x14ac:dyDescent="0.3">
      <c r="A5" t="s">
        <v>35</v>
      </c>
      <c r="B5">
        <v>0</v>
      </c>
    </row>
    <row r="6" spans="1:2" x14ac:dyDescent="0.3">
      <c r="A6" t="s">
        <v>9</v>
      </c>
      <c r="B6">
        <v>0</v>
      </c>
    </row>
    <row r="7" spans="1:2" x14ac:dyDescent="0.3">
      <c r="A7" t="s">
        <v>34</v>
      </c>
      <c r="B7">
        <v>0</v>
      </c>
    </row>
    <row r="8" spans="1:2" x14ac:dyDescent="0.3">
      <c r="A8" t="s">
        <v>33</v>
      </c>
      <c r="B8">
        <v>0</v>
      </c>
    </row>
    <row r="9" spans="1:2" x14ac:dyDescent="0.3">
      <c r="A9" t="s">
        <v>6</v>
      </c>
      <c r="B9">
        <v>0</v>
      </c>
    </row>
    <row r="10" spans="1:2" x14ac:dyDescent="0.3">
      <c r="A10" t="s">
        <v>32</v>
      </c>
      <c r="B10">
        <v>0</v>
      </c>
    </row>
    <row r="11" spans="1:2" x14ac:dyDescent="0.3">
      <c r="A11" t="s">
        <v>14</v>
      </c>
      <c r="B11">
        <v>0</v>
      </c>
    </row>
    <row r="12" spans="1:2" x14ac:dyDescent="0.3">
      <c r="A12" t="s">
        <v>18</v>
      </c>
      <c r="B12">
        <v>0</v>
      </c>
    </row>
    <row r="13" spans="1:2" x14ac:dyDescent="0.3">
      <c r="A13" t="s">
        <v>23</v>
      </c>
      <c r="B13">
        <v>0</v>
      </c>
    </row>
    <row r="14" spans="1:2" x14ac:dyDescent="0.3">
      <c r="A14" t="s">
        <v>25</v>
      </c>
      <c r="B14">
        <v>0</v>
      </c>
    </row>
    <row r="15" spans="1:2" x14ac:dyDescent="0.3">
      <c r="A15" t="s">
        <v>16</v>
      </c>
      <c r="B15">
        <v>0</v>
      </c>
    </row>
    <row r="16" spans="1:2" x14ac:dyDescent="0.3">
      <c r="A16" t="s">
        <v>10</v>
      </c>
      <c r="B16">
        <v>0</v>
      </c>
    </row>
    <row r="17" spans="1:2" x14ac:dyDescent="0.3">
      <c r="A17" t="s">
        <v>19</v>
      </c>
      <c r="B17">
        <v>0</v>
      </c>
    </row>
    <row r="18" spans="1:2" x14ac:dyDescent="0.3">
      <c r="A18" t="s">
        <v>1</v>
      </c>
      <c r="B18">
        <v>0</v>
      </c>
    </row>
    <row r="19" spans="1:2" x14ac:dyDescent="0.3">
      <c r="A19" t="s">
        <v>13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12</v>
      </c>
      <c r="B21">
        <v>0</v>
      </c>
    </row>
    <row r="22" spans="1:2" x14ac:dyDescent="0.3">
      <c r="A22" t="s">
        <v>15</v>
      </c>
      <c r="B22">
        <v>0</v>
      </c>
    </row>
    <row r="23" spans="1:2" x14ac:dyDescent="0.3">
      <c r="A23" t="s">
        <v>2</v>
      </c>
      <c r="B23">
        <v>0</v>
      </c>
    </row>
    <row r="24" spans="1:2" x14ac:dyDescent="0.3">
      <c r="A24" t="s">
        <v>24</v>
      </c>
      <c r="B24">
        <v>0</v>
      </c>
    </row>
    <row r="25" spans="1:2" x14ac:dyDescent="0.3">
      <c r="A25" t="s">
        <v>31</v>
      </c>
      <c r="B25">
        <v>0</v>
      </c>
    </row>
    <row r="26" spans="1:2" x14ac:dyDescent="0.3">
      <c r="A26" t="s">
        <v>22</v>
      </c>
      <c r="B26">
        <v>0</v>
      </c>
    </row>
    <row r="27" spans="1:2" x14ac:dyDescent="0.3">
      <c r="A27" t="s">
        <v>30</v>
      </c>
      <c r="B27">
        <v>0</v>
      </c>
    </row>
    <row r="28" spans="1:2" x14ac:dyDescent="0.3">
      <c r="A28" t="s">
        <v>5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7</v>
      </c>
      <c r="B30">
        <v>0</v>
      </c>
    </row>
    <row r="31" spans="1:2" x14ac:dyDescent="0.3">
      <c r="A31" t="s">
        <v>11</v>
      </c>
      <c r="B31">
        <v>0</v>
      </c>
    </row>
    <row r="32" spans="1:2" x14ac:dyDescent="0.3">
      <c r="A32" t="s">
        <v>8</v>
      </c>
      <c r="B32">
        <v>0</v>
      </c>
    </row>
    <row r="33" spans="1:2" x14ac:dyDescent="0.3">
      <c r="A33" t="s">
        <v>28</v>
      </c>
      <c r="B33">
        <v>0</v>
      </c>
    </row>
    <row r="34" spans="1:2" x14ac:dyDescent="0.3">
      <c r="A34" t="s">
        <v>27</v>
      </c>
      <c r="B34">
        <v>0</v>
      </c>
    </row>
    <row r="35" spans="1:2" x14ac:dyDescent="0.3">
      <c r="A35" t="s">
        <v>3</v>
      </c>
      <c r="B35">
        <v>0</v>
      </c>
    </row>
  </sheetData>
  <sortState xmlns:xlrd2="http://schemas.microsoft.com/office/spreadsheetml/2017/richdata2" ref="A1:B35">
    <sortCondition descending="1" ref="B1:B35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7C07-F799-494A-8702-EB2BC2C8A26C}">
  <dimension ref="A1:B35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4</v>
      </c>
      <c r="B1">
        <v>0.78723404255319152</v>
      </c>
    </row>
    <row r="2" spans="1:2" x14ac:dyDescent="0.3">
      <c r="A2" t="s">
        <v>9</v>
      </c>
      <c r="B2">
        <v>9.5744680851063829E-2</v>
      </c>
    </row>
    <row r="3" spans="1:2" x14ac:dyDescent="0.3">
      <c r="A3" t="s">
        <v>5</v>
      </c>
      <c r="B3">
        <v>7.4468085106382975E-2</v>
      </c>
    </row>
    <row r="4" spans="1:2" x14ac:dyDescent="0.3">
      <c r="A4" t="s">
        <v>22</v>
      </c>
      <c r="B4">
        <v>6.3829787234042548E-2</v>
      </c>
    </row>
    <row r="5" spans="1:2" x14ac:dyDescent="0.3">
      <c r="A5" t="s">
        <v>15</v>
      </c>
      <c r="B5">
        <v>5.3191489361702128E-2</v>
      </c>
    </row>
    <row r="6" spans="1:2" x14ac:dyDescent="0.3">
      <c r="A6" t="s">
        <v>11</v>
      </c>
      <c r="B6">
        <v>4.2553191489361701E-2</v>
      </c>
    </row>
    <row r="7" spans="1:2" x14ac:dyDescent="0.3">
      <c r="A7" t="s">
        <v>12</v>
      </c>
      <c r="B7">
        <v>4.2553191489361701E-2</v>
      </c>
    </row>
    <row r="8" spans="1:2" x14ac:dyDescent="0.3">
      <c r="A8" t="s">
        <v>17</v>
      </c>
      <c r="B8">
        <v>3.1914893617021274E-2</v>
      </c>
    </row>
    <row r="9" spans="1:2" x14ac:dyDescent="0.3">
      <c r="A9" t="s">
        <v>23</v>
      </c>
      <c r="B9">
        <v>3.1914893617021274E-2</v>
      </c>
    </row>
    <row r="10" spans="1:2" x14ac:dyDescent="0.3">
      <c r="A10" t="s">
        <v>6</v>
      </c>
      <c r="B10">
        <v>1.0638297872340425E-2</v>
      </c>
    </row>
    <row r="11" spans="1:2" x14ac:dyDescent="0.3">
      <c r="A11" t="s">
        <v>7</v>
      </c>
      <c r="B11">
        <v>1.0638297872340425E-2</v>
      </c>
    </row>
    <row r="12" spans="1:2" x14ac:dyDescent="0.3">
      <c r="A12" t="s">
        <v>8</v>
      </c>
      <c r="B12">
        <v>1.0638297872340425E-2</v>
      </c>
    </row>
    <row r="13" spans="1:2" x14ac:dyDescent="0.3">
      <c r="A13" t="s">
        <v>32</v>
      </c>
      <c r="B13">
        <v>1.0638297872340425E-2</v>
      </c>
    </row>
    <row r="14" spans="1:2" x14ac:dyDescent="0.3">
      <c r="A14" t="s">
        <v>1</v>
      </c>
      <c r="B14">
        <v>0</v>
      </c>
    </row>
    <row r="15" spans="1:2" x14ac:dyDescent="0.3">
      <c r="A15" t="s">
        <v>2</v>
      </c>
      <c r="B15">
        <v>0</v>
      </c>
    </row>
    <row r="16" spans="1:2" x14ac:dyDescent="0.3">
      <c r="A16" t="s">
        <v>3</v>
      </c>
      <c r="B16">
        <v>0</v>
      </c>
    </row>
    <row r="17" spans="1:2" x14ac:dyDescent="0.3">
      <c r="A17" t="s">
        <v>10</v>
      </c>
      <c r="B17">
        <v>0</v>
      </c>
    </row>
    <row r="18" spans="1:2" x14ac:dyDescent="0.3">
      <c r="A18" t="s">
        <v>13</v>
      </c>
      <c r="B18">
        <v>0</v>
      </c>
    </row>
    <row r="19" spans="1:2" x14ac:dyDescent="0.3">
      <c r="A19" t="s">
        <v>14</v>
      </c>
      <c r="B19">
        <v>0</v>
      </c>
    </row>
    <row r="20" spans="1:2" x14ac:dyDescent="0.3">
      <c r="A20" t="s">
        <v>16</v>
      </c>
      <c r="B20">
        <v>0</v>
      </c>
    </row>
    <row r="21" spans="1:2" x14ac:dyDescent="0.3">
      <c r="A21" t="s">
        <v>18</v>
      </c>
      <c r="B21">
        <v>0</v>
      </c>
    </row>
    <row r="22" spans="1:2" x14ac:dyDescent="0.3">
      <c r="A22" t="s">
        <v>19</v>
      </c>
      <c r="B22">
        <v>0</v>
      </c>
    </row>
    <row r="23" spans="1:2" x14ac:dyDescent="0.3">
      <c r="A23" t="s">
        <v>20</v>
      </c>
      <c r="B23">
        <v>0</v>
      </c>
    </row>
    <row r="24" spans="1:2" x14ac:dyDescent="0.3">
      <c r="A24" t="s">
        <v>21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</sheetData>
  <sortState xmlns:xlrd2="http://schemas.microsoft.com/office/spreadsheetml/2017/richdata2" ref="A1:B35">
    <sortCondition descending="1" ref="B1:B35"/>
  </sortState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C133-25B1-4193-9713-E7D9E46C0FDE}">
  <dimension ref="A1:B3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4</v>
      </c>
      <c r="B1">
        <v>0.7053571428571429</v>
      </c>
    </row>
    <row r="2" spans="1:2" x14ac:dyDescent="0.3">
      <c r="A2" t="s">
        <v>9</v>
      </c>
      <c r="B2">
        <v>0.15178571428571427</v>
      </c>
    </row>
    <row r="3" spans="1:2" x14ac:dyDescent="0.3">
      <c r="A3" t="s">
        <v>23</v>
      </c>
      <c r="B3">
        <v>0.13392857142857142</v>
      </c>
    </row>
    <row r="4" spans="1:2" x14ac:dyDescent="0.3">
      <c r="A4" t="s">
        <v>12</v>
      </c>
      <c r="B4">
        <v>1.7857142857142856E-2</v>
      </c>
    </row>
    <row r="5" spans="1:2" x14ac:dyDescent="0.3">
      <c r="A5" t="s">
        <v>11</v>
      </c>
      <c r="B5">
        <v>8.9285714285714281E-3</v>
      </c>
    </row>
    <row r="6" spans="1:2" x14ac:dyDescent="0.3">
      <c r="A6" t="s">
        <v>16</v>
      </c>
      <c r="B6">
        <v>8.9285714285714281E-3</v>
      </c>
    </row>
    <row r="7" spans="1:2" x14ac:dyDescent="0.3">
      <c r="A7" t="s">
        <v>22</v>
      </c>
      <c r="B7">
        <v>8.9285714285714281E-3</v>
      </c>
    </row>
    <row r="8" spans="1:2" x14ac:dyDescent="0.3">
      <c r="A8" t="s">
        <v>34</v>
      </c>
      <c r="B8">
        <v>8.9285714285714281E-3</v>
      </c>
    </row>
    <row r="9" spans="1:2" x14ac:dyDescent="0.3">
      <c r="A9" t="s">
        <v>1</v>
      </c>
      <c r="B9">
        <v>0</v>
      </c>
    </row>
    <row r="10" spans="1:2" x14ac:dyDescent="0.3">
      <c r="A10" t="s">
        <v>2</v>
      </c>
      <c r="B10">
        <v>0</v>
      </c>
    </row>
    <row r="11" spans="1:2" x14ac:dyDescent="0.3">
      <c r="A11" t="s">
        <v>3</v>
      </c>
      <c r="B11">
        <v>0</v>
      </c>
    </row>
    <row r="12" spans="1:2" x14ac:dyDescent="0.3">
      <c r="A12" t="s">
        <v>5</v>
      </c>
      <c r="B12">
        <v>0</v>
      </c>
    </row>
    <row r="13" spans="1:2" x14ac:dyDescent="0.3">
      <c r="A13" t="s">
        <v>6</v>
      </c>
      <c r="B13">
        <v>0</v>
      </c>
    </row>
    <row r="14" spans="1:2" x14ac:dyDescent="0.3">
      <c r="A14" t="s">
        <v>7</v>
      </c>
      <c r="B14">
        <v>0</v>
      </c>
    </row>
    <row r="15" spans="1:2" x14ac:dyDescent="0.3">
      <c r="A15" t="s">
        <v>8</v>
      </c>
      <c r="B15">
        <v>0</v>
      </c>
    </row>
    <row r="16" spans="1:2" x14ac:dyDescent="0.3">
      <c r="A16" t="s">
        <v>10</v>
      </c>
      <c r="B16">
        <v>0</v>
      </c>
    </row>
    <row r="17" spans="1:2" x14ac:dyDescent="0.3">
      <c r="A17" t="s">
        <v>13</v>
      </c>
      <c r="B17">
        <v>0</v>
      </c>
    </row>
    <row r="18" spans="1:2" x14ac:dyDescent="0.3">
      <c r="A18" t="s">
        <v>14</v>
      </c>
      <c r="B18">
        <v>0</v>
      </c>
    </row>
    <row r="19" spans="1:2" x14ac:dyDescent="0.3">
      <c r="A19" t="s">
        <v>15</v>
      </c>
      <c r="B19">
        <v>0</v>
      </c>
    </row>
    <row r="20" spans="1:2" x14ac:dyDescent="0.3">
      <c r="A20" t="s">
        <v>17</v>
      </c>
      <c r="B20">
        <v>0</v>
      </c>
    </row>
    <row r="21" spans="1:2" x14ac:dyDescent="0.3">
      <c r="A21" t="s">
        <v>18</v>
      </c>
      <c r="B21">
        <v>0</v>
      </c>
    </row>
    <row r="22" spans="1:2" x14ac:dyDescent="0.3">
      <c r="A22" t="s">
        <v>19</v>
      </c>
      <c r="B22">
        <v>0</v>
      </c>
    </row>
    <row r="23" spans="1:2" x14ac:dyDescent="0.3">
      <c r="A23" t="s">
        <v>20</v>
      </c>
      <c r="B23">
        <v>0</v>
      </c>
    </row>
    <row r="24" spans="1:2" x14ac:dyDescent="0.3">
      <c r="A24" t="s">
        <v>21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0</v>
      </c>
    </row>
    <row r="33" spans="1:2" x14ac:dyDescent="0.3">
      <c r="A33" t="s">
        <v>32</v>
      </c>
      <c r="B33">
        <v>0</v>
      </c>
    </row>
    <row r="34" spans="1:2" x14ac:dyDescent="0.3">
      <c r="A34" t="s">
        <v>33</v>
      </c>
      <c r="B34">
        <v>0</v>
      </c>
    </row>
    <row r="35" spans="1:2" x14ac:dyDescent="0.3">
      <c r="A35" t="s">
        <v>35</v>
      </c>
      <c r="B35">
        <v>0</v>
      </c>
    </row>
  </sheetData>
  <sortState xmlns:xlrd2="http://schemas.microsoft.com/office/spreadsheetml/2017/richdata2" ref="A1:B35">
    <sortCondition descending="1" ref="B1:B35"/>
  </sortState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469D-F53C-4DDB-889E-B4634FA0C0DE}">
  <dimension ref="A1:B35"/>
  <sheetViews>
    <sheetView workbookViewId="0">
      <selection activeCell="A6" sqref="A6"/>
    </sheetView>
  </sheetViews>
  <sheetFormatPr defaultRowHeight="14.4" x14ac:dyDescent="0.3"/>
  <sheetData>
    <row r="1" spans="1:2" x14ac:dyDescent="0.3">
      <c r="A1" t="s">
        <v>4</v>
      </c>
      <c r="B1">
        <v>0.70588235294117652</v>
      </c>
    </row>
    <row r="2" spans="1:2" x14ac:dyDescent="0.3">
      <c r="A2" t="s">
        <v>12</v>
      </c>
      <c r="B2">
        <v>0.11764705882352941</v>
      </c>
    </row>
    <row r="3" spans="1:2" x14ac:dyDescent="0.3">
      <c r="A3" t="s">
        <v>2</v>
      </c>
      <c r="B3">
        <v>5.8823529411764705E-2</v>
      </c>
    </row>
    <row r="4" spans="1:2" x14ac:dyDescent="0.3">
      <c r="A4" t="s">
        <v>9</v>
      </c>
      <c r="B4">
        <v>5.8823529411764705E-2</v>
      </c>
    </row>
    <row r="5" spans="1:2" x14ac:dyDescent="0.3">
      <c r="A5" t="s">
        <v>15</v>
      </c>
      <c r="B5">
        <v>5.8823529411764705E-2</v>
      </c>
    </row>
    <row r="6" spans="1:2" x14ac:dyDescent="0.3">
      <c r="A6" t="s">
        <v>17</v>
      </c>
      <c r="B6">
        <v>5.8823529411764705E-2</v>
      </c>
    </row>
    <row r="7" spans="1:2" x14ac:dyDescent="0.3">
      <c r="A7" t="s">
        <v>1</v>
      </c>
      <c r="B7">
        <v>0</v>
      </c>
    </row>
    <row r="8" spans="1:2" x14ac:dyDescent="0.3">
      <c r="A8" t="s">
        <v>3</v>
      </c>
      <c r="B8">
        <v>0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0</v>
      </c>
    </row>
    <row r="11" spans="1:2" x14ac:dyDescent="0.3">
      <c r="A11" t="s">
        <v>7</v>
      </c>
      <c r="B11">
        <v>0</v>
      </c>
    </row>
    <row r="12" spans="1:2" x14ac:dyDescent="0.3">
      <c r="A12" t="s">
        <v>8</v>
      </c>
      <c r="B12">
        <v>0</v>
      </c>
    </row>
    <row r="13" spans="1:2" x14ac:dyDescent="0.3">
      <c r="A13" t="s">
        <v>10</v>
      </c>
      <c r="B13">
        <v>0</v>
      </c>
    </row>
    <row r="14" spans="1:2" x14ac:dyDescent="0.3">
      <c r="A14" t="s">
        <v>11</v>
      </c>
      <c r="B14">
        <v>0</v>
      </c>
    </row>
    <row r="15" spans="1:2" x14ac:dyDescent="0.3">
      <c r="A15" t="s">
        <v>13</v>
      </c>
      <c r="B15">
        <v>0</v>
      </c>
    </row>
    <row r="16" spans="1:2" x14ac:dyDescent="0.3">
      <c r="A16" t="s">
        <v>14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0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0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</sheetData>
  <sortState xmlns:xlrd2="http://schemas.microsoft.com/office/spreadsheetml/2017/richdata2" ref="A1:B35">
    <sortCondition descending="1" ref="B1:B35"/>
  </sortState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F9F9-332C-43EC-B686-2403914F7275}">
  <dimension ref="A1:B35"/>
  <sheetViews>
    <sheetView workbookViewId="0">
      <selection activeCell="C5" sqref="C5"/>
    </sheetView>
  </sheetViews>
  <sheetFormatPr defaultRowHeight="14.4" x14ac:dyDescent="0.3"/>
  <sheetData>
    <row r="1" spans="1:2" x14ac:dyDescent="0.3">
      <c r="A1" t="s">
        <v>4</v>
      </c>
      <c r="B1">
        <v>0.78021978021978022</v>
      </c>
    </row>
    <row r="2" spans="1:2" x14ac:dyDescent="0.3">
      <c r="A2" t="s">
        <v>9</v>
      </c>
      <c r="B2">
        <v>0.10989010989010989</v>
      </c>
    </row>
    <row r="3" spans="1:2" x14ac:dyDescent="0.3">
      <c r="A3" t="s">
        <v>15</v>
      </c>
      <c r="B3">
        <v>6.5934065934065936E-2</v>
      </c>
    </row>
    <row r="4" spans="1:2" x14ac:dyDescent="0.3">
      <c r="A4" t="s">
        <v>32</v>
      </c>
      <c r="B4">
        <v>3.2967032967032968E-2</v>
      </c>
    </row>
    <row r="5" spans="1:2" x14ac:dyDescent="0.3">
      <c r="A5" t="s">
        <v>12</v>
      </c>
      <c r="B5">
        <v>2.197802197802198E-2</v>
      </c>
    </row>
    <row r="6" spans="1:2" x14ac:dyDescent="0.3">
      <c r="A6" t="s">
        <v>6</v>
      </c>
      <c r="B6">
        <v>1.098901098901099E-2</v>
      </c>
    </row>
    <row r="7" spans="1:2" x14ac:dyDescent="0.3">
      <c r="A7" t="s">
        <v>7</v>
      </c>
      <c r="B7">
        <v>1.098901098901099E-2</v>
      </c>
    </row>
    <row r="8" spans="1:2" x14ac:dyDescent="0.3">
      <c r="A8" t="s">
        <v>10</v>
      </c>
      <c r="B8">
        <v>1.098901098901099E-2</v>
      </c>
    </row>
    <row r="9" spans="1:2" x14ac:dyDescent="0.3">
      <c r="A9" t="s">
        <v>11</v>
      </c>
      <c r="B9">
        <v>1.098901098901099E-2</v>
      </c>
    </row>
    <row r="10" spans="1:2" x14ac:dyDescent="0.3">
      <c r="A10" t="s">
        <v>23</v>
      </c>
      <c r="B10">
        <v>1.098901098901099E-2</v>
      </c>
    </row>
    <row r="11" spans="1:2" x14ac:dyDescent="0.3">
      <c r="A11" t="s">
        <v>35</v>
      </c>
      <c r="B11">
        <v>1.098901098901099E-2</v>
      </c>
    </row>
    <row r="12" spans="1:2" x14ac:dyDescent="0.3">
      <c r="A12" t="s">
        <v>1</v>
      </c>
      <c r="B12">
        <v>0</v>
      </c>
    </row>
    <row r="13" spans="1:2" x14ac:dyDescent="0.3">
      <c r="A13" t="s">
        <v>2</v>
      </c>
      <c r="B13">
        <v>0</v>
      </c>
    </row>
    <row r="14" spans="1:2" x14ac:dyDescent="0.3">
      <c r="A14" t="s">
        <v>3</v>
      </c>
      <c r="B14">
        <v>0</v>
      </c>
    </row>
    <row r="15" spans="1:2" x14ac:dyDescent="0.3">
      <c r="A15" t="s">
        <v>5</v>
      </c>
      <c r="B15">
        <v>0</v>
      </c>
    </row>
    <row r="16" spans="1:2" x14ac:dyDescent="0.3">
      <c r="A16" t="s">
        <v>8</v>
      </c>
      <c r="B16">
        <v>0</v>
      </c>
    </row>
    <row r="17" spans="1:2" x14ac:dyDescent="0.3">
      <c r="A17" t="s">
        <v>13</v>
      </c>
      <c r="B17">
        <v>0</v>
      </c>
    </row>
    <row r="18" spans="1:2" x14ac:dyDescent="0.3">
      <c r="A18" t="s">
        <v>14</v>
      </c>
      <c r="B18">
        <v>0</v>
      </c>
    </row>
    <row r="19" spans="1:2" x14ac:dyDescent="0.3">
      <c r="A19" t="s">
        <v>16</v>
      </c>
      <c r="B19">
        <v>0</v>
      </c>
    </row>
    <row r="20" spans="1:2" x14ac:dyDescent="0.3">
      <c r="A20" t="s">
        <v>17</v>
      </c>
      <c r="B20">
        <v>0</v>
      </c>
    </row>
    <row r="21" spans="1:2" x14ac:dyDescent="0.3">
      <c r="A21" t="s">
        <v>18</v>
      </c>
      <c r="B21">
        <v>0</v>
      </c>
    </row>
    <row r="22" spans="1:2" x14ac:dyDescent="0.3">
      <c r="A22" t="s">
        <v>19</v>
      </c>
      <c r="B22">
        <v>0</v>
      </c>
    </row>
    <row r="23" spans="1:2" x14ac:dyDescent="0.3">
      <c r="A23" t="s">
        <v>20</v>
      </c>
      <c r="B23">
        <v>0</v>
      </c>
    </row>
    <row r="24" spans="1:2" x14ac:dyDescent="0.3">
      <c r="A24" t="s">
        <v>21</v>
      </c>
      <c r="B24">
        <v>0</v>
      </c>
    </row>
    <row r="25" spans="1:2" x14ac:dyDescent="0.3">
      <c r="A25" t="s">
        <v>22</v>
      </c>
      <c r="B25">
        <v>0</v>
      </c>
    </row>
    <row r="26" spans="1:2" x14ac:dyDescent="0.3">
      <c r="A26" t="s">
        <v>24</v>
      </c>
      <c r="B26">
        <v>0</v>
      </c>
    </row>
    <row r="27" spans="1:2" x14ac:dyDescent="0.3">
      <c r="A27" t="s">
        <v>25</v>
      </c>
      <c r="B27">
        <v>0</v>
      </c>
    </row>
    <row r="28" spans="1:2" x14ac:dyDescent="0.3">
      <c r="A28" t="s">
        <v>26</v>
      </c>
      <c r="B28">
        <v>0</v>
      </c>
    </row>
    <row r="29" spans="1:2" x14ac:dyDescent="0.3">
      <c r="A29" t="s">
        <v>27</v>
      </c>
      <c r="B29">
        <v>0</v>
      </c>
    </row>
    <row r="30" spans="1:2" x14ac:dyDescent="0.3">
      <c r="A30" t="s">
        <v>28</v>
      </c>
      <c r="B30">
        <v>0</v>
      </c>
    </row>
    <row r="31" spans="1:2" x14ac:dyDescent="0.3">
      <c r="A31" t="s">
        <v>29</v>
      </c>
      <c r="B31">
        <v>0</v>
      </c>
    </row>
    <row r="32" spans="1:2" x14ac:dyDescent="0.3">
      <c r="A32" t="s">
        <v>30</v>
      </c>
      <c r="B32">
        <v>0</v>
      </c>
    </row>
    <row r="33" spans="1:2" x14ac:dyDescent="0.3">
      <c r="A33" t="s">
        <v>31</v>
      </c>
      <c r="B33">
        <v>0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</sheetData>
  <sortState xmlns:xlrd2="http://schemas.microsoft.com/office/spreadsheetml/2017/richdata2" ref="A1:B35">
    <sortCondition descending="1" ref="B1:B35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phrase_frequency_all_with_rq1</vt:lpstr>
      <vt:lpstr>RQ1.1 Sorted Average</vt:lpstr>
      <vt:lpstr>RQ1.4 Claude</vt:lpstr>
      <vt:lpstr>RQ1.4 Copilot</vt:lpstr>
      <vt:lpstr>RQ1.4 OpenAI</vt:lpstr>
      <vt:lpstr>RQ1.4 Cursor</vt:lpstr>
      <vt:lpstr>RQ1.4 Devin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Loelle Lam</cp:lastModifiedBy>
  <dcterms:created xsi:type="dcterms:W3CDTF">2025-11-15T02:30:32Z</dcterms:created>
  <dcterms:modified xsi:type="dcterms:W3CDTF">2025-11-15T05:11:32Z</dcterms:modified>
</cp:coreProperties>
</file>